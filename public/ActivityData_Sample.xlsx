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Downloads\"/>
    </mc:Choice>
  </mc:AlternateContent>
  <xr:revisionPtr revIDLastSave="0" documentId="13_ncr:1_{85B8E049-C3C9-4337-AB65-FC4FD424C541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InstrumentAttribute" sheetId="1" r:id="rId1"/>
    <sheet name="TransactionActivity" sheetId="5" r:id="rId2"/>
    <sheet name="GLRule" sheetId="2" state="hidden" r:id="rId3"/>
    <sheet name="Sheet1" sheetId="3" state="hidden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" i="1" l="1"/>
  <c r="N3" i="1"/>
  <c r="F24" i="3"/>
  <c r="F25" i="3" s="1"/>
  <c r="E24" i="3"/>
  <c r="E25" i="3" s="1"/>
  <c r="D24" i="3"/>
  <c r="C24" i="3"/>
  <c r="D23" i="3"/>
  <c r="D25" i="3" s="1"/>
  <c r="C23" i="3"/>
  <c r="D22" i="3"/>
  <c r="C22" i="3"/>
  <c r="C25" i="3" s="1"/>
  <c r="G18" i="3"/>
  <c r="G15" i="3"/>
  <c r="J12" i="3"/>
  <c r="O12" i="3" s="1"/>
  <c r="J13" i="3" s="1"/>
  <c r="N13" i="3" s="1"/>
  <c r="K14" i="3" s="1"/>
  <c r="N14" i="3" s="1"/>
  <c r="K15" i="3" s="1"/>
  <c r="N15" i="3" s="1"/>
  <c r="K16" i="3" s="1"/>
  <c r="N16" i="3" s="1"/>
  <c r="K17" i="3" s="1"/>
  <c r="N17" i="3" s="1"/>
  <c r="K18" i="3" s="1"/>
  <c r="N18" i="3" s="1"/>
  <c r="K19" i="3" s="1"/>
  <c r="N19" i="3" s="1"/>
  <c r="K20" i="3" s="1"/>
  <c r="N20" i="3" s="1"/>
  <c r="K21" i="3" s="1"/>
  <c r="N21" i="3" s="1"/>
  <c r="K22" i="3" s="1"/>
  <c r="N22" i="3" s="1"/>
  <c r="G12" i="3"/>
  <c r="C5" i="3"/>
  <c r="A15" i="2"/>
  <c r="A14" i="2"/>
  <c r="A13" i="2"/>
  <c r="A12" i="2"/>
  <c r="A11" i="2"/>
  <c r="A10" i="2"/>
  <c r="A9" i="2"/>
  <c r="A8" i="2"/>
  <c r="A7" i="2"/>
  <c r="A6" i="2"/>
  <c r="A5" i="2"/>
  <c r="A4" i="2"/>
  <c r="A3" i="2"/>
  <c r="N2" i="1"/>
</calcChain>
</file>

<file path=xl/sharedStrings.xml><?xml version="1.0" encoding="utf-8"?>
<sst xmlns="http://schemas.openxmlformats.org/spreadsheetml/2006/main" count="142" uniqueCount="61">
  <si>
    <t>PostingDate</t>
  </si>
  <si>
    <t>EffectiveDate</t>
  </si>
  <si>
    <t>AttributeId</t>
  </si>
  <si>
    <t>LOAN_AMOUNT</t>
  </si>
  <si>
    <t>ACCRUAL_METHOD</t>
  </si>
  <si>
    <t>INTEREST_RATE</t>
  </si>
  <si>
    <t>LOAN_TERM</t>
  </si>
  <si>
    <t>CAPTURE_DATE</t>
  </si>
  <si>
    <t>MATURITY_DATE</t>
  </si>
  <si>
    <t>PRINCIPAL_BALANCE_CONSUMER</t>
  </si>
  <si>
    <t>LOAN_STATUS</t>
  </si>
  <si>
    <t>MERCHANT_INDUSTRY</t>
  </si>
  <si>
    <t>STATUS_AS_OF</t>
  </si>
  <si>
    <t>INTEREST_RECEIVABLE_CONSUMER</t>
  </si>
  <si>
    <t>NEXT_PAYMENT_DUE_DATE</t>
  </si>
  <si>
    <t>LAST_PAYMENT_MADE_DATE</t>
  </si>
  <si>
    <t>actual_360</t>
  </si>
  <si>
    <t>current</t>
  </si>
  <si>
    <t>Sporting Goods and Outdoors</t>
  </si>
  <si>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</si>
  <si>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</si>
  <si>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</si>
  <si>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</si>
  <si>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</si>
  <si>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</si>
  <si>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</si>
  <si>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</si>
  <si>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</si>
  <si>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</si>
  <si>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</si>
  <si>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</si>
  <si>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</si>
  <si>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</si>
  <si>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</si>
  <si>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</si>
  <si>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</si>
  <si>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</si>
  <si>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</si>
  <si>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</si>
  <si>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</si>
  <si>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</si>
  <si>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</si>
  <si>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</si>
  <si>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</si>
  <si>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</si>
  <si>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</si>
  <si>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</si>
  <si>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</si>
  <si>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</si>
  <si>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</si>
  <si>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</si>
  <si>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LOAN1</t>
  </si>
  <si>
    <t>LOAN2</t>
  </si>
  <si>
    <t>LOAN3</t>
  </si>
  <si>
    <t>InstrumentId</t>
  </si>
  <si>
    <t>Postingdate</t>
  </si>
  <si>
    <t>TransactionDate</t>
  </si>
  <si>
    <t>TransactionName</t>
  </si>
  <si>
    <t>Amount</t>
  </si>
  <si>
    <t>AtrributeId</t>
  </si>
  <si>
    <t>Remit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</si>
</sst>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0" fontId="1" fillId="3" borderId="1" xfId="1" applyFont="1" applyFill="1" applyBorder="1" applyAlignment="1" applyProtection="1"/>
    <xf numFmtId="0" fontId="1" fillId="4" borderId="1" xfId="1" applyFont="1" applyFill="1" applyBorder="1" applyAlignment="1" applyProtection="1"/>
    <xf numFmtId="0" fontId="1" fillId="5" borderId="1" xfId="1" applyFont="1" applyFill="1" applyBorder="1" applyAlignment="1" applyProtection="1"/>
    <xf numFmtId="14" fontId="0" fillId="0" borderId="1" xfId="1" applyNumberFormat="1" applyFont="1" applyFill="1" applyBorder="1" applyAlignment="1" applyProtection="1"/>
    <xf numFmtId="0" fontId="0" fillId="0" borderId="1" xfId="1" applyFont="1" applyFill="1" applyBorder="1" applyAlignment="1" applyProtection="1"/>
    <xf numFmtId="14" fontId="0" fillId="0" borderId="1" xfId="1" applyNumberFormat="1" applyFont="1" applyBorder="1"/>
    <xf numFmtId="0" fontId="0" fillId="0" borderId="1" xfId="1" applyFont="1" applyBorder="1"/>
    <xf numFmtId="164" fontId="0" fillId="0" borderId="1" xfId="1" applyNumberFormat="1" applyFont="1" applyBorder="1"/>
    <xf numFmtId="0" fontId="1" fillId="3" borderId="1" xfId="1" applyFont="1" applyFill="1" applyBorder="1"/>
    <xf numFmtId="0" fontId="1" fillId="4" borderId="1" xfId="1" applyFont="1" applyFill="1" applyBorder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Q1048576"/>
  <sheetViews>
    <sheetView tabSelected="1" zoomScale="120" zoomScaleNormal="120" workbookViewId="0">
      <selection activeCell="G5" sqref="G5"/>
    </sheetView>
  </sheetViews>
  <sheetFormatPr defaultColWidth="11.5703125" defaultRowHeight="15" customHeight="1" x14ac:dyDescent="0.25"/>
  <cols>
    <col min="1" max="1" width="12" bestFit="1" customWidth="1"/>
    <col min="2" max="2" width="13.140625" bestFit="1" customWidth="1"/>
    <col min="3" max="3" width="11" bestFit="1" customWidth="1"/>
    <col min="4" max="4" width="15.42578125" bestFit="1" customWidth="1"/>
    <col min="5" max="5" width="16" style="1" bestFit="1" customWidth="1"/>
    <col min="6" max="6" width="19.140625" bestFit="1" customWidth="1"/>
    <col min="7" max="7" width="15.5703125" bestFit="1" customWidth="1"/>
    <col min="8" max="8" width="12.5703125" bestFit="1" customWidth="1"/>
    <col min="9" max="9" width="15.5703125" bestFit="1" customWidth="1"/>
    <col min="10" max="10" width="16.7109375" bestFit="1" customWidth="1"/>
    <col min="11" max="11" width="32.7109375" bestFit="1" customWidth="1"/>
    <col min="12" max="12" width="14.42578125" bestFit="1" customWidth="1"/>
    <col min="13" max="13" width="22" bestFit="1" customWidth="1"/>
    <col min="14" max="14" width="15.140625" bestFit="1" customWidth="1"/>
    <col min="15" max="15" width="34.140625" bestFit="1" customWidth="1"/>
    <col min="16" max="16" width="27" bestFit="1" customWidth="1"/>
    <col min="17" max="17" width="28.5703125" bestFit="1" customWidth="1"/>
  </cols>
  <sheetData>
    <row r="1" spans="1:17" x14ac:dyDescent="0.25">
      <c r="A1" s="5" t="s">
        <v>0</v>
      </c>
      <c r="B1" s="6" t="s">
        <v>1</v>
      </c>
      <c r="C1" s="6" t="s">
        <v>2</v>
      </c>
      <c r="D1" s="6" t="s">
        <v>54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</row>
    <row r="2" spans="1:17" x14ac:dyDescent="0.25">
      <c r="A2" s="8">
        <v>44592</v>
      </c>
      <c r="B2" s="8">
        <v>44592</v>
      </c>
      <c r="C2" s="9">
        <v>1</v>
      </c>
      <c r="D2" s="9" t="s">
        <v>51</v>
      </c>
      <c r="E2" s="9">
        <v>100000</v>
      </c>
      <c r="F2" s="9" t="s">
        <v>16</v>
      </c>
      <c r="G2" s="9">
        <v>10</v>
      </c>
      <c r="H2" s="9">
        <v>12</v>
      </c>
      <c r="I2" s="8">
        <v>44592</v>
      </c>
      <c r="J2" s="8">
        <v>44957</v>
      </c>
      <c r="K2" s="9">
        <v>100000</v>
      </c>
      <c r="L2" s="9" t="s">
        <v>17</v>
      </c>
      <c r="M2" s="9" t="s">
        <v>18</v>
      </c>
      <c r="N2" s="8">
        <f>A2</f>
        <v>44592</v>
      </c>
      <c r="O2" s="9">
        <v>100</v>
      </c>
      <c r="P2" s="8">
        <v>45350</v>
      </c>
      <c r="Q2" s="8">
        <v>45322</v>
      </c>
    </row>
    <row r="3" spans="1:17" ht="15" customHeight="1" x14ac:dyDescent="0.25">
      <c r="A3" s="8">
        <v>44592</v>
      </c>
      <c r="B3" s="8">
        <v>44592</v>
      </c>
      <c r="C3" s="9">
        <v>1</v>
      </c>
      <c r="D3" s="9" t="s">
        <v>52</v>
      </c>
      <c r="E3" s="9">
        <v>150000</v>
      </c>
      <c r="F3" s="9" t="s">
        <v>16</v>
      </c>
      <c r="G3" s="9">
        <v>8</v>
      </c>
      <c r="H3" s="9">
        <v>12</v>
      </c>
      <c r="I3" s="8">
        <v>44592</v>
      </c>
      <c r="J3" s="8">
        <v>44957</v>
      </c>
      <c r="K3" s="9">
        <v>150000</v>
      </c>
      <c r="L3" s="9" t="s">
        <v>17</v>
      </c>
      <c r="M3" s="9" t="s">
        <v>18</v>
      </c>
      <c r="N3" s="8">
        <f>A3</f>
        <v>44592</v>
      </c>
      <c r="O3" s="9">
        <v>200</v>
      </c>
      <c r="P3" s="8">
        <v>45350</v>
      </c>
      <c r="Q3" s="8">
        <v>45322</v>
      </c>
    </row>
    <row r="4" spans="1:17" ht="15" customHeight="1" x14ac:dyDescent="0.25">
      <c r="A4" s="8">
        <v>44592</v>
      </c>
      <c r="B4" s="8">
        <v>44592</v>
      </c>
      <c r="C4" s="9">
        <v>1</v>
      </c>
      <c r="D4" s="9" t="s">
        <v>53</v>
      </c>
      <c r="E4" s="9">
        <v>200000</v>
      </c>
      <c r="F4" s="9" t="s">
        <v>16</v>
      </c>
      <c r="G4" s="9">
        <v>2</v>
      </c>
      <c r="H4" s="9">
        <v>12</v>
      </c>
      <c r="I4" s="8">
        <v>44592</v>
      </c>
      <c r="J4" s="8">
        <v>44957</v>
      </c>
      <c r="K4" s="9">
        <v>200000</v>
      </c>
      <c r="L4" s="9" t="s">
        <v>17</v>
      </c>
      <c r="M4" s="9" t="s">
        <v>18</v>
      </c>
      <c r="N4" s="8">
        <f>A4</f>
        <v>44592</v>
      </c>
      <c r="O4" s="9">
        <v>300</v>
      </c>
      <c r="P4" s="8">
        <v>45350</v>
      </c>
      <c r="Q4" s="8">
        <v>45322</v>
      </c>
    </row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02F0-BB9A-4843-A015-670088683ED0}">
  <sheetPr>
    <tabColor theme="4" tint="0.79998168889431442"/>
  </sheetPr>
  <dimension ref="A1:F4"/>
  <sheetViews>
    <sheetView tabSelected="1" zoomScaleNormal="100" workbookViewId="0">
      <selection activeCell="G5" sqref="G5"/>
    </sheetView>
  </sheetViews>
  <sheetFormatPr defaultColWidth="8.7109375" defaultRowHeight="15" customHeight="1" x14ac:dyDescent="0.25"/>
  <cols>
    <col min="1" max="1" width="11.5703125" bestFit="1" customWidth="1"/>
    <col min="2" max="2" width="15.42578125" bestFit="1" customWidth="1"/>
    <col min="3" max="3" width="12.5703125" bestFit="1" customWidth="1"/>
    <col min="4" max="4" width="16.5703125" bestFit="1" customWidth="1"/>
    <col min="5" max="5" width="8.140625" bestFit="1" customWidth="1"/>
    <col min="6" max="6" width="10.85546875" bestFit="1" customWidth="1"/>
  </cols>
  <sheetData>
    <row r="1" spans="1:6" x14ac:dyDescent="0.25">
      <c r="A1" s="13" t="s">
        <v>55</v>
      </c>
      <c r="B1" s="14" t="s">
        <v>56</v>
      </c>
      <c r="C1" s="14" t="s">
        <v>54</v>
      </c>
      <c r="D1" s="14" t="s">
        <v>57</v>
      </c>
      <c r="E1" s="14" t="s">
        <v>58</v>
      </c>
      <c r="F1" s="14" t="s">
        <v>59</v>
      </c>
    </row>
    <row r="2" spans="1:6" x14ac:dyDescent="0.25">
      <c r="A2" s="8">
        <v>44592</v>
      </c>
      <c r="B2" s="8">
        <v>44592</v>
      </c>
      <c r="C2" s="11" t="s">
        <v>51</v>
      </c>
      <c r="D2" s="10" t="s">
        <v>60</v>
      </c>
      <c r="E2" s="12">
        <v>210</v>
      </c>
      <c r="F2" s="11">
        <v>1</v>
      </c>
    </row>
    <row r="3" spans="1:6" ht="15" customHeight="1" x14ac:dyDescent="0.25">
      <c r="A3" s="8">
        <v>44592</v>
      </c>
      <c r="B3" s="8">
        <v>44592</v>
      </c>
      <c r="C3" s="11" t="s">
        <v>52</v>
      </c>
      <c r="D3" s="10" t="s">
        <v>60</v>
      </c>
      <c r="E3" s="12">
        <v>310</v>
      </c>
      <c r="F3" s="11">
        <v>1</v>
      </c>
    </row>
    <row r="4" spans="1:6" ht="15" customHeight="1" x14ac:dyDescent="0.25">
      <c r="A4" s="8">
        <v>44592</v>
      </c>
      <c r="B4" s="8">
        <v>44592</v>
      </c>
      <c r="C4" s="11" t="s">
        <v>53</v>
      </c>
      <c r="D4" s="10" t="s">
        <v>60</v>
      </c>
      <c r="E4" s="12">
        <v>410</v>
      </c>
      <c r="F4" s="11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19</v>
      </c>
    </row>
    <row r="2" spans="1:6" x14ac:dyDescent="0.25">
      <c r="A2" s="1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26</v>
      </c>
      <c r="D3" s="1" t="s">
        <v>27</v>
      </c>
      <c r="E3" s="1" t="s">
        <v>28</v>
      </c>
      <c r="F3" s="1" t="s">
        <v>29</v>
      </c>
    </row>
    <row r="4" spans="1:6" x14ac:dyDescent="0.25">
      <c r="A4" s="1" t="str">
        <f t="shared" si="0"/>
        <v>Revenueamount&gt;1Cr</v>
      </c>
      <c r="B4" s="1">
        <v>2</v>
      </c>
      <c r="C4" s="3" t="s">
        <v>26</v>
      </c>
      <c r="D4" s="3" t="s">
        <v>27</v>
      </c>
      <c r="E4" s="3" t="s">
        <v>30</v>
      </c>
      <c r="F4" s="4" t="s">
        <v>29</v>
      </c>
    </row>
    <row r="5" spans="1:6" x14ac:dyDescent="0.25">
      <c r="A5" s="1" t="str">
        <f t="shared" si="0"/>
        <v>Revenueamount&lt;1Dr</v>
      </c>
      <c r="B5" s="1">
        <v>3</v>
      </c>
      <c r="C5" s="3" t="s">
        <v>26</v>
      </c>
      <c r="D5" s="3" t="s">
        <v>31</v>
      </c>
      <c r="E5" s="3" t="s">
        <v>28</v>
      </c>
      <c r="F5" s="4" t="s">
        <v>32</v>
      </c>
    </row>
    <row r="6" spans="1:6" x14ac:dyDescent="0.25">
      <c r="A6" s="1" t="str">
        <f t="shared" si="0"/>
        <v>Revenueamount&lt;1Cr</v>
      </c>
      <c r="B6" s="1">
        <v>4</v>
      </c>
      <c r="C6" s="1" t="s">
        <v>26</v>
      </c>
      <c r="D6" s="1" t="s">
        <v>31</v>
      </c>
      <c r="E6" s="1" t="s">
        <v>30</v>
      </c>
      <c r="F6" s="1" t="s">
        <v>32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33</v>
      </c>
      <c r="D7" s="1" t="s">
        <v>27</v>
      </c>
      <c r="E7" s="1" t="s">
        <v>28</v>
      </c>
      <c r="F7" s="1" t="s">
        <v>29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33</v>
      </c>
      <c r="D8" s="1" t="s">
        <v>27</v>
      </c>
      <c r="E8" s="1" t="s">
        <v>30</v>
      </c>
      <c r="F8" s="1" t="s">
        <v>29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33</v>
      </c>
      <c r="D9" s="1" t="s">
        <v>31</v>
      </c>
      <c r="E9" s="1" t="s">
        <v>28</v>
      </c>
      <c r="F9" s="1" t="s">
        <v>32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33</v>
      </c>
      <c r="D10" s="1" t="s">
        <v>31</v>
      </c>
      <c r="E10" s="1" t="s">
        <v>30</v>
      </c>
      <c r="F10" s="1" t="s">
        <v>32</v>
      </c>
    </row>
    <row r="11" spans="1:6" x14ac:dyDescent="0.25">
      <c r="A11" s="1" t="str">
        <f t="shared" si="0"/>
        <v>A/Ramount&gt;1Dr</v>
      </c>
      <c r="B11" s="1">
        <v>9</v>
      </c>
      <c r="C11" s="1" t="s">
        <v>34</v>
      </c>
      <c r="D11" s="1" t="s">
        <v>27</v>
      </c>
      <c r="E11" s="1" t="s">
        <v>28</v>
      </c>
      <c r="F11" s="1" t="s">
        <v>29</v>
      </c>
    </row>
    <row r="12" spans="1:6" x14ac:dyDescent="0.25">
      <c r="A12" s="1" t="str">
        <f t="shared" si="0"/>
        <v>A/Ramount&gt;1Cr</v>
      </c>
      <c r="B12" s="1">
        <v>10</v>
      </c>
      <c r="C12" s="1" t="s">
        <v>34</v>
      </c>
      <c r="D12" s="1" t="s">
        <v>27</v>
      </c>
      <c r="E12" s="1" t="s">
        <v>30</v>
      </c>
      <c r="F12" s="1" t="s">
        <v>29</v>
      </c>
    </row>
    <row r="13" spans="1:6" x14ac:dyDescent="0.25">
      <c r="A13" s="1" t="str">
        <f t="shared" si="0"/>
        <v>A/Ramount&lt;1Dr</v>
      </c>
      <c r="B13" s="1">
        <v>11</v>
      </c>
      <c r="C13" s="1" t="s">
        <v>34</v>
      </c>
      <c r="D13" s="1" t="s">
        <v>31</v>
      </c>
      <c r="E13" s="1" t="s">
        <v>28</v>
      </c>
      <c r="F13" s="1" t="s">
        <v>32</v>
      </c>
    </row>
    <row r="14" spans="1:6" x14ac:dyDescent="0.25">
      <c r="A14" s="1" t="str">
        <f t="shared" si="0"/>
        <v>A/Ramount&lt;1Cr</v>
      </c>
      <c r="B14" s="1">
        <v>12</v>
      </c>
      <c r="C14" s="1" t="s">
        <v>34</v>
      </c>
      <c r="D14" s="1" t="s">
        <v>31</v>
      </c>
      <c r="E14" s="1" t="s">
        <v>30</v>
      </c>
      <c r="F14" s="1" t="s">
        <v>32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28</v>
      </c>
      <c r="E1" s="1" t="s">
        <v>30</v>
      </c>
      <c r="G1" s="2" t="s">
        <v>35</v>
      </c>
      <c r="H1" s="2" t="s">
        <v>36</v>
      </c>
      <c r="I1" s="2"/>
    </row>
    <row r="2" spans="2:15" x14ac:dyDescent="0.25">
      <c r="C2" s="1" t="s">
        <v>37</v>
      </c>
      <c r="D2" s="1">
        <v>100</v>
      </c>
      <c r="G2" s="1" t="s">
        <v>38</v>
      </c>
      <c r="H2" s="4" t="s">
        <v>38</v>
      </c>
    </row>
    <row r="3" spans="2:15" x14ac:dyDescent="0.25">
      <c r="C3" s="1" t="s">
        <v>39</v>
      </c>
      <c r="E3" s="1">
        <v>-100</v>
      </c>
      <c r="G3" s="1" t="s">
        <v>26</v>
      </c>
      <c r="H3" s="4" t="s">
        <v>38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38</v>
      </c>
      <c r="H5" s="4" t="s">
        <v>38</v>
      </c>
    </row>
    <row r="6" spans="2:15" x14ac:dyDescent="0.25">
      <c r="C6" s="4" t="s">
        <v>39</v>
      </c>
      <c r="D6" s="4"/>
      <c r="E6" s="4">
        <v>-100</v>
      </c>
      <c r="G6" s="4" t="s">
        <v>26</v>
      </c>
      <c r="H6" s="4" t="s">
        <v>38</v>
      </c>
    </row>
    <row r="8" spans="2:15" x14ac:dyDescent="0.25">
      <c r="B8" s="1">
        <v>3</v>
      </c>
      <c r="C8" s="4" t="s">
        <v>39</v>
      </c>
      <c r="D8" s="4">
        <v>200</v>
      </c>
      <c r="E8" s="4"/>
      <c r="F8" s="4"/>
      <c r="G8" s="4" t="s">
        <v>26</v>
      </c>
      <c r="H8" s="4" t="s">
        <v>40</v>
      </c>
    </row>
    <row r="9" spans="2:15" x14ac:dyDescent="0.25">
      <c r="C9" s="4" t="s">
        <v>37</v>
      </c>
      <c r="D9" s="4"/>
      <c r="E9" s="4">
        <v>-200</v>
      </c>
      <c r="F9" s="4"/>
      <c r="G9" s="4" t="s">
        <v>38</v>
      </c>
      <c r="H9" s="4" t="s">
        <v>40</v>
      </c>
    </row>
    <row r="10" spans="2:15" x14ac:dyDescent="0.25">
      <c r="J10" s="4" t="s">
        <v>41</v>
      </c>
      <c r="K10" s="4" t="s">
        <v>42</v>
      </c>
      <c r="L10" s="4" t="s">
        <v>43</v>
      </c>
      <c r="M10" s="4" t="s">
        <v>44</v>
      </c>
      <c r="N10" s="4" t="s">
        <v>45</v>
      </c>
      <c r="O10" s="4" t="s">
        <v>46</v>
      </c>
    </row>
    <row r="11" spans="2:15" x14ac:dyDescent="0.25">
      <c r="B11" s="1">
        <v>3</v>
      </c>
      <c r="C11" s="1" t="s">
        <v>37</v>
      </c>
      <c r="D11" s="1">
        <v>200</v>
      </c>
      <c r="G11" s="4" t="s">
        <v>47</v>
      </c>
      <c r="H11" s="4" t="s">
        <v>40</v>
      </c>
      <c r="M11" s="1">
        <v>100</v>
      </c>
      <c r="O11" s="1">
        <v>100</v>
      </c>
    </row>
    <row r="12" spans="2:15" x14ac:dyDescent="0.25">
      <c r="C12" s="1" t="s">
        <v>39</v>
      </c>
      <c r="E12" s="1">
        <v>-200</v>
      </c>
      <c r="G12" s="4" t="str">
        <f>G8</f>
        <v>Revenue</v>
      </c>
      <c r="H12" s="4" t="s">
        <v>40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48</v>
      </c>
      <c r="D14" s="1">
        <v>1200</v>
      </c>
      <c r="G14" s="1" t="s">
        <v>49</v>
      </c>
      <c r="H14" s="4" t="s">
        <v>40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50</v>
      </c>
      <c r="E15" s="1">
        <v>-1200</v>
      </c>
      <c r="G15" s="4" t="str">
        <f>G11</f>
        <v>Def Revenue</v>
      </c>
      <c r="H15" s="4" t="s">
        <v>40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37</v>
      </c>
      <c r="D17" s="1">
        <v>100</v>
      </c>
      <c r="G17" s="4" t="s">
        <v>47</v>
      </c>
      <c r="H17" s="4" t="s">
        <v>40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39</v>
      </c>
      <c r="E18" s="1">
        <v>-100</v>
      </c>
      <c r="G18" s="4" t="str">
        <f>G12</f>
        <v>Revenue</v>
      </c>
      <c r="H18" s="4" t="s">
        <v>40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38</v>
      </c>
      <c r="D21" s="1" t="s">
        <v>26</v>
      </c>
      <c r="E21" s="1" t="s">
        <v>49</v>
      </c>
      <c r="F21" s="1" t="s">
        <v>47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InstrumentAttribute</vt:lpstr>
      <vt:lpstr>TransactionActivity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27</cp:revision>
  <dcterms:created xsi:type="dcterms:W3CDTF">2024-02-24T05:30:44Z</dcterms:created>
  <dcterms:modified xsi:type="dcterms:W3CDTF">2026-06-01T08:09:59Z</dcterms:modified>
  <dc:language>en-US</dc:language>
</cp:coreProperties>
</file>